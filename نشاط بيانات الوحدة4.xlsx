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WinDows\Downloads\BAYAN ACADEMY\"/>
    </mc:Choice>
  </mc:AlternateContent>
  <xr:revisionPtr revIDLastSave="0" documentId="13_ncr:1_{1D1FB6EC-5487-41D2-B9BF-27878E46E929}" xr6:coauthVersionLast="47" xr6:coauthVersionMax="47" xr10:uidLastSave="{00000000-0000-0000-0000-000000000000}"/>
  <bookViews>
    <workbookView xWindow="-108" yWindow="-108" windowWidth="23256" windowHeight="13896" tabRatio="500" activeTab="1" xr2:uid="{00000000-000D-0000-FFFF-FFFF00000000}"/>
  </bookViews>
  <sheets>
    <sheet name="التعليمات" sheetId="1" r:id="rId1"/>
    <sheet name="Sheet1" sheetId="4" r:id="rId2"/>
    <sheet name="بيانات خام" sheetId="2" r:id="rId3"/>
    <sheet name="الملخص" sheetId="3" r:id="rId4"/>
  </sheets>
  <calcPr calcId="191029" iterateDelta="1E-4"/>
  <pivotCaches>
    <pivotCache cacheId="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4" i="2" l="1"/>
  <c r="C6" i="3"/>
  <c r="B6" i="3"/>
  <c r="C5" i="3"/>
  <c r="B5" i="3"/>
  <c r="C4" i="3"/>
  <c r="B4" i="3"/>
  <c r="B3" i="3"/>
  <c r="B2" i="3"/>
  <c r="F13" i="2"/>
  <c r="F12" i="2"/>
  <c r="F11" i="2"/>
  <c r="F10" i="2"/>
  <c r="F9" i="2"/>
  <c r="F8" i="2"/>
  <c r="F7" i="2"/>
  <c r="C2" i="3" s="1"/>
  <c r="F6" i="2"/>
  <c r="C3" i="3"/>
  <c r="F3" i="2"/>
  <c r="F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4" authorId="0" shapeId="0" xr:uid="{00000000-0006-0000-0200-000001000000}">
      <text>
        <r>
          <rPr>
            <sz val="10"/>
            <rFont val="FreeSans"/>
            <family val="2"/>
          </rPr>
          <t xml:space="preserve">خطأ إشارة مقصود لتمرين </t>
        </r>
        <r>
          <rPr>
            <sz val="10"/>
            <rFont val="Arial"/>
            <family val="2"/>
          </rPr>
          <t>/debug (</t>
        </r>
        <r>
          <rPr>
            <sz val="10"/>
            <rFont val="FreeSans"/>
            <family val="2"/>
          </rPr>
          <t>المهمة رقم ٣ في ورقة التعليمات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FreeSans"/>
            <family val="2"/>
          </rPr>
          <t>المطلوب: تشخيص الخطأ وإصلاح الصيغة لتشير إلى العمود الصحيح (الإجمالي)</t>
        </r>
        <r>
          <rPr>
            <sz val="10"/>
            <rFont val="Arial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<sst xmlns="http://schemas.openxmlformats.org/spreadsheetml/2006/main" count="99" uniqueCount="45">
  <si>
    <r>
      <rPr>
        <b/>
        <sz val="16"/>
        <color rgb="FF1A3E5C"/>
        <rFont val="FreeSans"/>
        <family val="2"/>
      </rPr>
      <t>نشاط الوحدة الرابعة</t>
    </r>
    <r>
      <rPr>
        <b/>
        <sz val="16"/>
        <color rgb="FF1A3E5C"/>
        <rFont val="Calibri"/>
        <charset val="1"/>
      </rPr>
      <t xml:space="preserve">: </t>
    </r>
    <r>
      <rPr>
        <b/>
        <sz val="16"/>
        <color rgb="FF1A3E5C"/>
        <rFont val="FreeSans"/>
        <family val="2"/>
      </rPr>
      <t>التكامل مع الذكاء الاصطناعي وأتمتة التحليل</t>
    </r>
  </si>
  <si>
    <r>
      <rPr>
        <i/>
        <sz val="11"/>
        <color rgb="FF5C7A8A"/>
        <rFont val="FreeSans"/>
        <family val="2"/>
      </rPr>
      <t xml:space="preserve">استخدمي </t>
    </r>
    <r>
      <rPr>
        <i/>
        <sz val="11"/>
        <color rgb="FF5C7A8A"/>
        <rFont val="Calibri"/>
        <charset val="1"/>
      </rPr>
      <t xml:space="preserve">Claude for Excel </t>
    </r>
    <r>
      <rPr>
        <i/>
        <sz val="11"/>
        <color rgb="FF5C7A8A"/>
        <rFont val="FreeSans"/>
        <family val="2"/>
      </rPr>
      <t xml:space="preserve">أو </t>
    </r>
    <r>
      <rPr>
        <i/>
        <sz val="11"/>
        <color rgb="FF5C7A8A"/>
        <rFont val="Calibri"/>
        <charset val="1"/>
      </rPr>
      <t xml:space="preserve">Copilot </t>
    </r>
    <r>
      <rPr>
        <i/>
        <sz val="11"/>
        <color rgb="FF5C7A8A"/>
        <rFont val="FreeSans"/>
        <family val="2"/>
      </rPr>
      <t>لتنفيذ المهام التالية على بيانات هذا الملف</t>
    </r>
  </si>
  <si>
    <r>
      <rPr>
        <sz val="12"/>
        <color rgb="FF1A3E5C"/>
        <rFont val="FreeSans"/>
        <family val="2"/>
      </rPr>
      <t>١</t>
    </r>
    <r>
      <rPr>
        <sz val="12"/>
        <color rgb="FF1A3E5C"/>
        <rFont val="Calibri"/>
        <charset val="1"/>
      </rPr>
      <t xml:space="preserve">. </t>
    </r>
    <r>
      <rPr>
        <sz val="12"/>
        <color rgb="FF1A3E5C"/>
        <rFont val="FreeSans"/>
        <family val="2"/>
      </rPr>
      <t xml:space="preserve">افتحي ورقة </t>
    </r>
    <r>
      <rPr>
        <sz val="12"/>
        <color rgb="FF1A3E5C"/>
        <rFont val="Calibri"/>
        <charset val="1"/>
      </rPr>
      <t>"</t>
    </r>
    <r>
      <rPr>
        <sz val="12"/>
        <color rgb="FF1A3E5C"/>
        <rFont val="FreeSans"/>
        <family val="2"/>
      </rPr>
      <t>بيانات خام</t>
    </r>
    <r>
      <rPr>
        <sz val="12"/>
        <color rgb="FF1A3E5C"/>
        <rFont val="Calibri"/>
        <charset val="1"/>
      </rPr>
      <t>"</t>
    </r>
    <r>
      <rPr>
        <sz val="12"/>
        <color rgb="FF1A3E5C"/>
        <rFont val="FreeSans"/>
        <family val="2"/>
      </rPr>
      <t xml:space="preserve">، واطلبي من </t>
    </r>
    <r>
      <rPr>
        <sz val="12"/>
        <color rgb="FF1A3E5C"/>
        <rFont val="Calibri"/>
        <charset val="1"/>
      </rPr>
      <t xml:space="preserve">Claude </t>
    </r>
    <r>
      <rPr>
        <sz val="12"/>
        <color rgb="FF1A3E5C"/>
        <rFont val="FreeSans"/>
        <family val="2"/>
      </rPr>
      <t>تلخيص أداء المبيعات الإجمالي بأمر نصي واضح</t>
    </r>
    <r>
      <rPr>
        <sz val="12"/>
        <color rgb="FF1A3E5C"/>
        <rFont val="Calibri"/>
        <charset val="1"/>
      </rPr>
      <t>.</t>
    </r>
  </si>
  <si>
    <r>
      <rPr>
        <sz val="12"/>
        <color rgb="FF1A3E5C"/>
        <rFont val="FreeSans"/>
        <family val="2"/>
      </rPr>
      <t>٢</t>
    </r>
    <r>
      <rPr>
        <sz val="12"/>
        <color rgb="FF1A3E5C"/>
        <rFont val="Calibri"/>
        <charset val="1"/>
      </rPr>
      <t xml:space="preserve">. </t>
    </r>
    <r>
      <rPr>
        <sz val="12"/>
        <color rgb="FF1A3E5C"/>
        <rFont val="FreeSans"/>
        <family val="2"/>
      </rPr>
      <t xml:space="preserve">استخدمي الأمر </t>
    </r>
    <r>
      <rPr>
        <sz val="12"/>
        <color rgb="FF1A3E5C"/>
        <rFont val="Calibri"/>
        <charset val="1"/>
      </rPr>
      <t xml:space="preserve">/clean-up </t>
    </r>
    <r>
      <rPr>
        <sz val="12"/>
        <color rgb="FF1A3E5C"/>
        <rFont val="FreeSans"/>
        <family val="2"/>
      </rPr>
      <t xml:space="preserve">لتنظيف بيانات ورقة </t>
    </r>
    <r>
      <rPr>
        <sz val="12"/>
        <color rgb="FF1A3E5C"/>
        <rFont val="Calibri"/>
        <charset val="1"/>
      </rPr>
      <t>"</t>
    </r>
    <r>
      <rPr>
        <sz val="12"/>
        <color rgb="FF1A3E5C"/>
        <rFont val="FreeSans"/>
        <family val="2"/>
      </rPr>
      <t>بيانات خام</t>
    </r>
    <r>
      <rPr>
        <sz val="12"/>
        <color rgb="FF1A3E5C"/>
        <rFont val="Calibri"/>
        <charset val="1"/>
      </rPr>
      <t>" (</t>
    </r>
    <r>
      <rPr>
        <sz val="12"/>
        <color rgb="FF1A3E5C"/>
        <rFont val="FreeSans"/>
        <family val="2"/>
      </rPr>
      <t>تنسيق التواريخ، إزالة التكرار، توحيد أسماء المنتجات</t>
    </r>
    <r>
      <rPr>
        <sz val="12"/>
        <color rgb="FF1A3E5C"/>
        <rFont val="Calibri"/>
        <charset val="1"/>
      </rPr>
      <t>).</t>
    </r>
  </si>
  <si>
    <r>
      <rPr>
        <sz val="12"/>
        <color rgb="FF1A3E5C"/>
        <rFont val="FreeSans"/>
        <family val="2"/>
      </rPr>
      <t>٣</t>
    </r>
    <r>
      <rPr>
        <sz val="12"/>
        <color rgb="FF1A3E5C"/>
        <rFont val="Calibri"/>
        <charset val="1"/>
      </rPr>
      <t xml:space="preserve">. </t>
    </r>
    <r>
      <rPr>
        <sz val="12"/>
        <color rgb="FF1A3E5C"/>
        <rFont val="FreeSans"/>
        <family val="2"/>
      </rPr>
      <t xml:space="preserve">افحصي ورقة </t>
    </r>
    <r>
      <rPr>
        <sz val="12"/>
        <color rgb="FF1A3E5C"/>
        <rFont val="Calibri"/>
        <charset val="1"/>
      </rPr>
      <t>"</t>
    </r>
    <r>
      <rPr>
        <sz val="12"/>
        <color rgb="FF1A3E5C"/>
        <rFont val="FreeSans"/>
        <family val="2"/>
      </rPr>
      <t>الملخص</t>
    </r>
    <r>
      <rPr>
        <sz val="12"/>
        <color rgb="FF1A3E5C"/>
        <rFont val="Calibri"/>
        <charset val="1"/>
      </rPr>
      <t xml:space="preserve">": </t>
    </r>
    <r>
      <rPr>
        <sz val="12"/>
        <color rgb="FF1A3E5C"/>
        <rFont val="FreeSans"/>
        <family val="2"/>
      </rPr>
      <t xml:space="preserve">تحتوي الخلية </t>
    </r>
    <r>
      <rPr>
        <sz val="12"/>
        <color rgb="FF1A3E5C"/>
        <rFont val="Calibri"/>
        <charset val="1"/>
      </rPr>
      <t xml:space="preserve">C4 </t>
    </r>
    <r>
      <rPr>
        <sz val="12"/>
        <color rgb="FF1A3E5C"/>
        <rFont val="FreeSans"/>
        <family val="2"/>
      </rPr>
      <t xml:space="preserve">على خطأ إشارة </t>
    </r>
    <r>
      <rPr>
        <sz val="12"/>
        <color rgb="FF1A3E5C"/>
        <rFont val="Calibri"/>
        <charset val="1"/>
      </rPr>
      <t xml:space="preserve">(Reference Error) </t>
    </r>
    <r>
      <rPr>
        <sz val="12"/>
        <color rgb="FF1A3E5C"/>
        <rFont val="FreeSans"/>
        <family val="2"/>
      </rPr>
      <t>مقصود</t>
    </r>
    <r>
      <rPr>
        <sz val="12"/>
        <color rgb="FF1A3E5C"/>
        <rFont val="Calibri"/>
        <charset val="1"/>
      </rPr>
      <t xml:space="preserve">. </t>
    </r>
    <r>
      <rPr>
        <sz val="12"/>
        <color rgb="FF1A3E5C"/>
        <rFont val="FreeSans"/>
        <family val="2"/>
      </rPr>
      <t xml:space="preserve">استخدمي الأمر </t>
    </r>
    <r>
      <rPr>
        <sz val="12"/>
        <color rgb="FF1A3E5C"/>
        <rFont val="Calibri"/>
        <charset val="1"/>
      </rPr>
      <t xml:space="preserve">/debug </t>
    </r>
    <r>
      <rPr>
        <sz val="12"/>
        <color rgb="FF1A3E5C"/>
        <rFont val="FreeSans"/>
        <family val="2"/>
      </rPr>
      <t>لتشخيصه وإصلاحه</t>
    </r>
    <r>
      <rPr>
        <sz val="12"/>
        <color rgb="FF1A3E5C"/>
        <rFont val="Calibri"/>
        <charset val="1"/>
      </rPr>
      <t>.</t>
    </r>
  </si>
  <si>
    <r>
      <rPr>
        <sz val="12"/>
        <color rgb="FF1A3E5C"/>
        <rFont val="FreeSans"/>
        <family val="2"/>
      </rPr>
      <t>٤</t>
    </r>
    <r>
      <rPr>
        <sz val="12"/>
        <color rgb="FF1A3E5C"/>
        <rFont val="Calibri"/>
        <charset val="1"/>
      </rPr>
      <t xml:space="preserve">. </t>
    </r>
    <r>
      <rPr>
        <sz val="12"/>
        <color rgb="FF1A3E5C"/>
        <rFont val="FreeSans"/>
        <family val="2"/>
      </rPr>
      <t xml:space="preserve">اطلبي من النموذج إنشاء جدول محوري ورسم بياني يوضح المبيعات حسب المنتج والشهر من ورقة </t>
    </r>
    <r>
      <rPr>
        <sz val="12"/>
        <color rgb="FF1A3E5C"/>
        <rFont val="Calibri"/>
        <charset val="1"/>
      </rPr>
      <t>"</t>
    </r>
    <r>
      <rPr>
        <sz val="12"/>
        <color rgb="FF1A3E5C"/>
        <rFont val="FreeSans"/>
        <family val="2"/>
      </rPr>
      <t>بيانات خام</t>
    </r>
    <r>
      <rPr>
        <sz val="12"/>
        <color rgb="FF1A3E5C"/>
        <rFont val="Calibri"/>
        <charset val="1"/>
      </rPr>
      <t>".</t>
    </r>
  </si>
  <si>
    <r>
      <rPr>
        <sz val="12"/>
        <color rgb="FF1A3E5C"/>
        <rFont val="FreeSans"/>
        <family val="2"/>
      </rPr>
      <t>٥</t>
    </r>
    <r>
      <rPr>
        <sz val="12"/>
        <color rgb="FF1A3E5C"/>
        <rFont val="Calibri"/>
        <charset val="1"/>
      </rPr>
      <t xml:space="preserve">. </t>
    </r>
    <r>
      <rPr>
        <sz val="12"/>
        <color rgb="FF1A3E5C"/>
        <rFont val="FreeSans"/>
        <family val="2"/>
      </rPr>
      <t>اطلبي تقريراً تنفيذياً موجزاً بأهم ٣ رؤى مستخرجة من البيانات، وراجعي النتائج يدوياً قبل اعتمادها</t>
    </r>
    <r>
      <rPr>
        <sz val="12"/>
        <color rgb="FF1A3E5C"/>
        <rFont val="Calibri"/>
        <charset val="1"/>
      </rPr>
      <t>.</t>
    </r>
  </si>
  <si>
    <r>
      <rPr>
        <i/>
        <sz val="10"/>
        <color rgb="FFB36B00"/>
        <rFont val="FreeSans"/>
        <family val="2"/>
      </rPr>
      <t>ملاحظة</t>
    </r>
    <r>
      <rPr>
        <i/>
        <sz val="10"/>
        <color rgb="FFB36B00"/>
        <rFont val="Calibri"/>
        <charset val="1"/>
      </rPr>
      <t xml:space="preserve">: </t>
    </r>
    <r>
      <rPr>
        <i/>
        <sz val="10"/>
        <color rgb="FFB36B00"/>
        <rFont val="FreeSans"/>
        <family val="2"/>
      </rPr>
      <t xml:space="preserve">خطأ الإشارة في ورقة </t>
    </r>
    <r>
      <rPr>
        <i/>
        <sz val="10"/>
        <color rgb="FFB36B00"/>
        <rFont val="Calibri"/>
        <charset val="1"/>
      </rPr>
      <t>"</t>
    </r>
    <r>
      <rPr>
        <i/>
        <sz val="10"/>
        <color rgb="FFB36B00"/>
        <rFont val="FreeSans"/>
        <family val="2"/>
      </rPr>
      <t>الملخص</t>
    </r>
    <r>
      <rPr>
        <i/>
        <sz val="10"/>
        <color rgb="FFB36B00"/>
        <rFont val="Calibri"/>
        <charset val="1"/>
      </rPr>
      <t>" (</t>
    </r>
    <r>
      <rPr>
        <i/>
        <sz val="10"/>
        <color rgb="FFB36B00"/>
        <rFont val="FreeSans"/>
        <family val="2"/>
      </rPr>
      <t xml:space="preserve">الخلية </t>
    </r>
    <r>
      <rPr>
        <i/>
        <sz val="10"/>
        <color rgb="FFB36B00"/>
        <rFont val="Calibri"/>
        <charset val="1"/>
      </rPr>
      <t xml:space="preserve">C4) </t>
    </r>
    <r>
      <rPr>
        <i/>
        <sz val="10"/>
        <color rgb="FFB36B00"/>
        <rFont val="FreeSans"/>
        <family val="2"/>
      </rPr>
      <t xml:space="preserve">مقصود لغرض تدريبي </t>
    </r>
    <r>
      <rPr>
        <i/>
        <sz val="10"/>
        <color rgb="FFB36B00"/>
        <rFont val="Calibri"/>
        <charset val="1"/>
      </rPr>
      <t>(</t>
    </r>
    <r>
      <rPr>
        <i/>
        <sz val="10"/>
        <color rgb="FFB36B00"/>
        <rFont val="FreeSans"/>
        <family val="2"/>
      </rPr>
      <t>تمرين رقم ٣</t>
    </r>
    <r>
      <rPr>
        <i/>
        <sz val="10"/>
        <color rgb="FFB36B00"/>
        <rFont val="Calibri"/>
        <charset val="1"/>
      </rPr>
      <t>)</t>
    </r>
    <r>
      <rPr>
        <i/>
        <sz val="10"/>
        <color rgb="FFB36B00"/>
        <rFont val="FreeSans"/>
        <family val="2"/>
      </rPr>
      <t>، وليس خللاً في الملف</t>
    </r>
    <r>
      <rPr>
        <i/>
        <sz val="10"/>
        <color rgb="FFB36B00"/>
        <rFont val="Calibri"/>
        <charset val="1"/>
      </rPr>
      <t>.</t>
    </r>
  </si>
  <si>
    <t>التاريخ</t>
  </si>
  <si>
    <t>المنتج</t>
  </si>
  <si>
    <t>الفئة</t>
  </si>
  <si>
    <t>الكمية</t>
  </si>
  <si>
    <t>سعر الوحدة</t>
  </si>
  <si>
    <t>الإجمالي</t>
  </si>
  <si>
    <t>المندوب</t>
  </si>
  <si>
    <t>دفتر ملاحظات</t>
  </si>
  <si>
    <t>قرطاسية</t>
  </si>
  <si>
    <t>سارة</t>
  </si>
  <si>
    <t xml:space="preserve"> دفتر ملاحظات</t>
  </si>
  <si>
    <t>قلم حبر</t>
  </si>
  <si>
    <t>خالد</t>
  </si>
  <si>
    <t>طابعة ليزر</t>
  </si>
  <si>
    <t>أجهزة مكتبية</t>
  </si>
  <si>
    <t>منى</t>
  </si>
  <si>
    <t>2025-01-12</t>
  </si>
  <si>
    <r>
      <rPr>
        <sz val="11"/>
        <color rgb="FF1A3E5C"/>
        <rFont val="FreeSans"/>
        <family val="2"/>
      </rPr>
      <t xml:space="preserve">لابتوب </t>
    </r>
    <r>
      <rPr>
        <sz val="11"/>
        <color rgb="FF1A3E5C"/>
        <rFont val="Calibri"/>
        <charset val="1"/>
      </rPr>
      <t xml:space="preserve">15 </t>
    </r>
    <r>
      <rPr>
        <sz val="11"/>
        <color rgb="FF1A3E5C"/>
        <rFont val="FreeSans"/>
        <family val="2"/>
      </rPr>
      <t>بوصة</t>
    </r>
  </si>
  <si>
    <t>2025-01-15</t>
  </si>
  <si>
    <t>2025-01-18</t>
  </si>
  <si>
    <r>
      <rPr>
        <sz val="11"/>
        <color rgb="FF1A3E5C"/>
        <rFont val="FreeSans"/>
        <family val="2"/>
      </rPr>
      <t xml:space="preserve">شاشة </t>
    </r>
    <r>
      <rPr>
        <sz val="11"/>
        <color rgb="FF1A3E5C"/>
        <rFont val="Calibri"/>
        <charset val="1"/>
      </rPr>
      <t xml:space="preserve">24 </t>
    </r>
    <r>
      <rPr>
        <sz val="11"/>
        <color rgb="FF1A3E5C"/>
        <rFont val="FreeSans"/>
        <family val="2"/>
      </rPr>
      <t>بوصة</t>
    </r>
  </si>
  <si>
    <t>2025-02-02</t>
  </si>
  <si>
    <t>2025-02-05</t>
  </si>
  <si>
    <t>2025-02-10</t>
  </si>
  <si>
    <t>2025-02-14</t>
  </si>
  <si>
    <t>2025-02-20</t>
  </si>
  <si>
    <r>
      <rPr>
        <i/>
        <sz val="10"/>
        <color rgb="FFB36B00"/>
        <rFont val="FreeSans"/>
        <family val="2"/>
      </rPr>
      <t>ملاحظة</t>
    </r>
    <r>
      <rPr>
        <i/>
        <sz val="10"/>
        <color rgb="FFB36B00"/>
        <rFont val="Calibri"/>
        <charset val="1"/>
      </rPr>
      <t xml:space="preserve">: </t>
    </r>
    <r>
      <rPr>
        <i/>
        <sz val="10"/>
        <color rgb="FFB36B00"/>
        <rFont val="FreeSans"/>
        <family val="2"/>
      </rPr>
      <t xml:space="preserve">البيانات أعلاه تحتوي على تنسيقات تواريخ غير موحّدة، صف مكرر، وقيمة كمية مفقودة — عن قصد لتمرين التنظيف </t>
    </r>
    <r>
      <rPr>
        <i/>
        <sz val="10"/>
        <color rgb="FFB36B00"/>
        <rFont val="Calibri"/>
        <charset val="1"/>
      </rPr>
      <t>(/clean-up).</t>
    </r>
  </si>
  <si>
    <t>إجمالي الكمية</t>
  </si>
  <si>
    <t>إجمالي المبيعات</t>
  </si>
  <si>
    <t>إجمالي المبيعات الكلي بعد تنظيف البيانات هو 59,090 ريال، وأعلى منتج مبيعاً هو لابتوب 15 بوصة.</t>
  </si>
  <si>
    <t>Sum of سعر الوحدة</t>
  </si>
  <si>
    <t>Sum of الإجمالي</t>
  </si>
  <si>
    <t>(All)</t>
  </si>
  <si>
    <t>Row Labels</t>
  </si>
  <si>
    <t>Grand Total</t>
  </si>
  <si>
    <t>شاشة 24 بوصة</t>
  </si>
  <si>
    <t>لابتوب 15 بوصة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</si>
</sst>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5">
    <font>
      <sz val="11"/>
      <color theme="1"/>
      <name val="Calibri"/>
      <family val="2"/>
      <charset val="1"/>
    </font>
    <font>
      <b/>
      <sz val="16"/>
      <color rgb="FF1A3E5C"/>
      <name val="FreeSans"/>
      <family val="2"/>
    </font>
    <font>
      <b/>
      <sz val="16"/>
      <color rgb="FF1A3E5C"/>
      <name val="Calibri"/>
      <charset val="1"/>
    </font>
    <font>
      <i/>
      <sz val="11"/>
      <color rgb="FF5C7A8A"/>
      <name val="FreeSans"/>
      <family val="2"/>
    </font>
    <font>
      <i/>
      <sz val="11"/>
      <color rgb="FF5C7A8A"/>
      <name val="Calibri"/>
      <charset val="1"/>
    </font>
    <font>
      <sz val="12"/>
      <color rgb="FF1A3E5C"/>
      <name val="FreeSans"/>
      <family val="2"/>
    </font>
    <font>
      <sz val="12"/>
      <color rgb="FF1A3E5C"/>
      <name val="Calibri"/>
      <charset val="1"/>
    </font>
    <font>
      <i/>
      <sz val="10"/>
      <color rgb="FFB36B00"/>
      <name val="FreeSans"/>
      <family val="2"/>
    </font>
    <font>
      <i/>
      <sz val="10"/>
      <color rgb="FFB36B00"/>
      <name val="Calibri"/>
      <charset val="1"/>
    </font>
    <font>
      <b/>
      <sz val="11"/>
      <color rgb="FFFFFFFF"/>
      <name val="FreeSans"/>
      <family val="2"/>
    </font>
    <font>
      <sz val="11"/>
      <color rgb="FF1A3E5C"/>
      <name val="Calibri"/>
      <charset val="1"/>
    </font>
    <font>
      <sz val="11"/>
      <color rgb="FF1A3E5C"/>
      <name val="FreeSans"/>
      <family val="2"/>
    </font>
    <font>
      <sz val="10"/>
      <name val="FreeSans"/>
      <family val="2"/>
    </font>
    <font>
      <sz val="10"/>
      <name val="Arial"/>
      <family val="2"/>
    </font>
    <font>
      <sz val="11"/>
      <color rgb="FF1A3E5C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A3E5C"/>
        <bgColor rgb="FF333333"/>
      </patternFill>
    </fill>
  </fills>
  <borders count="2">
    <border>
      <left/>
      <right/>
      <top/>
      <bottom/>
      <diagonal/>
    </border>
    <border>
      <left style="thin">
        <color rgb="FFC9D6DB"/>
      </left>
      <right style="thin">
        <color rgb="FFC9D6DB"/>
      </right>
      <top style="thin">
        <color rgb="FFC9D6DB"/>
      </top>
      <bottom style="thin">
        <color rgb="FFC9D6D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5" fillId="0" borderId="0" xfId="0" applyFont="1" applyAlignment="1">
      <alignment horizontal="right" vertical="center" wrapText="1" readingOrder="2"/>
    </xf>
    <xf numFmtId="0" fontId="7" fillId="0" borderId="0" xfId="0" applyFont="1" applyAlignment="1">
      <alignment horizontal="right" wrapText="1" readingOrder="2"/>
    </xf>
    <xf numFmtId="0" fontId="9" fillId="2" borderId="1" xfId="0" applyFont="1" applyFill="1" applyBorder="1" applyAlignment="1">
      <alignment horizontal="center" vertical="center" readingOrder="2"/>
    </xf>
    <xf numFmtId="0" fontId="10" fillId="0" borderId="1" xfId="0" applyFont="1" applyBorder="1" applyAlignment="1">
      <alignment horizontal="center" vertical="center" readingOrder="2"/>
    </xf>
    <xf numFmtId="0" fontId="11" fillId="0" borderId="1" xfId="0" applyFont="1" applyBorder="1" applyAlignment="1">
      <alignment horizontal="center" vertical="center" readingOrder="2"/>
    </xf>
    <xf numFmtId="0" fontId="11" fillId="0" borderId="1" xfId="0" applyFont="1" applyBorder="1" applyAlignment="1">
      <alignment horizontal="center" readingOrder="2"/>
    </xf>
    <xf numFmtId="165" fontId="9" fillId="2" borderId="1" xfId="0" applyNumberFormat="1" applyFont="1" applyFill="1" applyBorder="1" applyAlignment="1">
      <alignment horizontal="center" vertical="center" readingOrder="2"/>
    </xf>
    <xf numFmtId="165" fontId="10" fillId="0" borderId="1" xfId="0" applyNumberFormat="1" applyFont="1" applyBorder="1" applyAlignment="1">
      <alignment horizontal="center" vertical="center" readingOrder="2"/>
    </xf>
    <xf numFmtId="165" fontId="7" fillId="0" borderId="0" xfId="0" applyNumberFormat="1" applyFont="1"/>
    <xf numFmtId="165" fontId="0" fillId="0" borderId="0" xfId="0" applyNumberFormat="1"/>
    <xf numFmtId="0" fontId="14" fillId="0" borderId="1" xfId="0" applyFont="1" applyBorder="1" applyAlignment="1">
      <alignment horizontal="center" vertical="center" readingOrder="2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36B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6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7A8A"/>
      <rgbColor rgb="FF969696"/>
      <rgbColor rgb="FF1A3E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Dows" refreshedDate="46293.62802974537" createdVersion="8" refreshedVersion="8" minRefreshableVersion="3" recordCount="12" xr:uid="{F6ED9A85-A9C3-4107-AA62-96F04814F654}">
  <cacheSource type="worksheet">
    <worksheetSource ref="A1:G13" sheet="بيانات خام"/>
  </cacheSource>
  <cacheFields count="7">
    <cacheField name="التاريخ" numFmtId="165">
      <sharedItems containsNonDate="0" containsDate="1" containsMixedTypes="1" minDate="2025-01-05T00:00:00" maxDate="2025-01-09T00:00:00" count="10">
        <d v="2025-01-05T00:00:00"/>
        <d v="2025-01-08T00:00:00"/>
        <s v="2025-01-12"/>
        <s v="2025-01-15"/>
        <s v="2025-01-18"/>
        <s v="2025-02-02"/>
        <s v="2025-02-05"/>
        <s v="2025-02-10"/>
        <s v="2025-02-14"/>
        <s v="2025-02-20"/>
      </sharedItems>
    </cacheField>
    <cacheField name="المنتج" numFmtId="0">
      <sharedItems count="6">
        <s v="دفتر ملاحظات"/>
        <s v=" دفتر ملاحظات"/>
        <s v="قلم حبر"/>
        <s v="طابعة ليزر"/>
        <s v="لابتوب 15 بوصة"/>
        <s v="شاشة 24 بوصة"/>
      </sharedItems>
    </cacheField>
    <cacheField name="الفئة" numFmtId="0">
      <sharedItems count="2">
        <s v="قرطاسية"/>
        <s v="أجهزة مكتبية"/>
      </sharedItems>
    </cacheField>
    <cacheField name="الكمية" numFmtId="0">
      <sharedItems containsSemiMixedTypes="0" containsString="0" containsNumber="1" containsInteger="1" minValue="5" maxValue="270" count="11">
        <n v="40"/>
        <n v="120"/>
        <n v="270"/>
        <n v="5"/>
        <n v="60"/>
        <n v="15"/>
        <n v="200"/>
        <n v="8"/>
        <n v="6"/>
        <n v="10"/>
        <n v="75"/>
      </sharedItems>
    </cacheField>
    <cacheField name="سعر الوحدة" numFmtId="0">
      <sharedItems containsSemiMixedTypes="0" containsString="0" containsNumber="1" containsInteger="1" minValue="3" maxValue="2800"/>
    </cacheField>
    <cacheField name="الإجمالي" numFmtId="0">
      <sharedItems containsSemiMixedTypes="0" containsString="0" containsNumber="1" containsInteger="1" minValue="270" maxValue="22400"/>
    </cacheField>
    <cacheField name="المندوب" numFmtId="0">
      <sharedItems count="3">
        <s v="سارة"/>
        <s v="خالد"/>
        <s v="منى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x v="0"/>
    <n v="12"/>
    <n v="480"/>
    <x v="0"/>
  </r>
  <r>
    <x v="0"/>
    <x v="1"/>
    <x v="0"/>
    <x v="0"/>
    <n v="12"/>
    <n v="480"/>
    <x v="0"/>
  </r>
  <r>
    <x v="1"/>
    <x v="2"/>
    <x v="0"/>
    <x v="1"/>
    <n v="3"/>
    <n v="360"/>
    <x v="1"/>
  </r>
  <r>
    <x v="1"/>
    <x v="3"/>
    <x v="1"/>
    <x v="2"/>
    <n v="450"/>
    <n v="270"/>
    <x v="2"/>
  </r>
  <r>
    <x v="2"/>
    <x v="4"/>
    <x v="1"/>
    <x v="3"/>
    <n v="2800"/>
    <n v="14000"/>
    <x v="1"/>
  </r>
  <r>
    <x v="3"/>
    <x v="0"/>
    <x v="0"/>
    <x v="4"/>
    <n v="12"/>
    <n v="720"/>
    <x v="2"/>
  </r>
  <r>
    <x v="4"/>
    <x v="5"/>
    <x v="1"/>
    <x v="5"/>
    <n v="550"/>
    <n v="8250"/>
    <x v="0"/>
  </r>
  <r>
    <x v="5"/>
    <x v="2"/>
    <x v="0"/>
    <x v="6"/>
    <n v="3"/>
    <n v="600"/>
    <x v="1"/>
  </r>
  <r>
    <x v="6"/>
    <x v="4"/>
    <x v="1"/>
    <x v="7"/>
    <n v="2800"/>
    <n v="22400"/>
    <x v="2"/>
  </r>
  <r>
    <x v="7"/>
    <x v="3"/>
    <x v="1"/>
    <x v="8"/>
    <n v="450"/>
    <n v="2700"/>
    <x v="0"/>
  </r>
  <r>
    <x v="8"/>
    <x v="5"/>
    <x v="1"/>
    <x v="9"/>
    <n v="550"/>
    <n v="5500"/>
    <x v="1"/>
  </r>
  <r>
    <x v="9"/>
    <x v="0"/>
    <x v="0"/>
    <x v="10"/>
    <n v="12"/>
    <n v="90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3D539A-49DD-43AF-8870-DC391F56DA90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C29" firstHeaderRow="0" firstDataRow="1" firstDataCol="1" rowPageCount="3" colPageCount="1"/>
  <pivotFields count="7">
    <pivotField axis="axisRow" showAll="0">
      <items count="11">
        <item x="2"/>
        <item x="3"/>
        <item x="4"/>
        <item x="5"/>
        <item x="6"/>
        <item x="7"/>
        <item x="8"/>
        <item x="9"/>
        <item x="0"/>
        <item x="1"/>
        <item t="default"/>
      </items>
    </pivotField>
    <pivotField axis="axisRow" showAll="0">
      <items count="7">
        <item x="1"/>
        <item x="0"/>
        <item x="5"/>
        <item x="3"/>
        <item x="2"/>
        <item x="4"/>
        <item t="default"/>
      </items>
    </pivotField>
    <pivotField axis="axisPage" showAll="0">
      <items count="3">
        <item x="1"/>
        <item x="0"/>
        <item t="default"/>
      </items>
    </pivotField>
    <pivotField axis="axisPage" showAll="0">
      <items count="12">
        <item x="3"/>
        <item x="8"/>
        <item x="7"/>
        <item x="9"/>
        <item x="5"/>
        <item x="0"/>
        <item x="4"/>
        <item x="10"/>
        <item x="1"/>
        <item x="6"/>
        <item x="2"/>
        <item t="default"/>
      </items>
    </pivotField>
    <pivotField dataField="1" showAll="0"/>
    <pivotField dataField="1" showAll="0"/>
    <pivotField axis="axisPage" showAll="0">
      <items count="4">
        <item x="1"/>
        <item x="0"/>
        <item x="2"/>
        <item t="default"/>
      </items>
    </pivotField>
  </pivotFields>
  <rowFields count="2">
    <field x="0"/>
    <field x="1"/>
  </rowFields>
  <rowItems count="23">
    <i>
      <x/>
    </i>
    <i r="1">
      <x v="5"/>
    </i>
    <i>
      <x v="1"/>
    </i>
    <i r="1">
      <x v="1"/>
    </i>
    <i>
      <x v="2"/>
    </i>
    <i r="1">
      <x v="2"/>
    </i>
    <i>
      <x v="3"/>
    </i>
    <i r="1">
      <x v="4"/>
    </i>
    <i>
      <x v="4"/>
    </i>
    <i r="1">
      <x v="5"/>
    </i>
    <i>
      <x v="5"/>
    </i>
    <i r="1">
      <x v="3"/>
    </i>
    <i>
      <x v="6"/>
    </i>
    <i r="1">
      <x v="2"/>
    </i>
    <i>
      <x v="7"/>
    </i>
    <i r="1">
      <x v="1"/>
    </i>
    <i>
      <x v="8"/>
    </i>
    <i r="1">
      <x/>
    </i>
    <i r="1">
      <x v="1"/>
    </i>
    <i>
      <x v="9"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pageFields count="3">
    <pageField fld="6" hier="-1"/>
    <pageField fld="2" hier="-1"/>
    <pageField fld="3" hier="-1"/>
  </pageFields>
  <dataFields count="2">
    <dataField name="Sum of سعر الوحدة" fld="4" baseField="0" baseItem="0"/>
    <dataField name="Sum of الإجمالي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rightToLeft="1" zoomScaleNormal="100" workbookViewId="0">
      <selection activeCell="D4" sqref="D4"/>
    </sheetView>
  </sheetViews>
  <sheetFormatPr defaultColWidth="8.6640625" defaultRowHeight="14.4"/>
  <cols>
    <col min="1" max="1" width="95" customWidth="1"/>
  </cols>
  <sheetData>
    <row r="1" spans="1:2" ht="21">
      <c r="A1" s="1" t="s">
        <v>0</v>
      </c>
    </row>
    <row r="2" spans="1:2">
      <c r="A2" s="2" t="s">
        <v>1</v>
      </c>
    </row>
    <row r="4" spans="1:2" ht="33.75" customHeight="1">
      <c r="A4" s="3" t="s">
        <v>2</v>
      </c>
      <c r="B4" t="s">
        <v>37</v>
      </c>
    </row>
    <row r="5" spans="1:2" ht="33.75" customHeight="1">
      <c r="A5" s="3" t="s">
        <v>3</v>
      </c>
    </row>
    <row r="6" spans="1:2" ht="33.75" customHeight="1">
      <c r="A6" s="3" t="s">
        <v>4</v>
      </c>
    </row>
    <row r="7" spans="1:2" ht="33.75" customHeight="1">
      <c r="A7" s="3" t="s">
        <v>5</v>
      </c>
    </row>
    <row r="8" spans="1:2" ht="33.75" customHeight="1">
      <c r="A8" s="3" t="s">
        <v>6</v>
      </c>
    </row>
    <row r="10" spans="1:2">
      <c r="A10" s="4" t="s">
        <v>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84C1E-5AA3-4BA5-BF46-459BB6F58B6E}">
  <dimension ref="A2:C29"/>
  <sheetViews>
    <sheetView tabSelected="1" workbookViewId="0">
      <selection activeCell="A6" sqref="A6"/>
    </sheetView>
  </sheetViews>
  <sheetFormatPr defaultRowHeight="14.4"/>
  <cols>
    <col min="1" max="1" width="16.21875" bestFit="1" customWidth="1"/>
    <col min="2" max="2" width="15.5546875" bestFit="1" customWidth="1"/>
    <col min="3" max="3" width="12.6640625" bestFit="1" customWidth="1"/>
    <col min="4" max="20" width="15.5546875" bestFit="1" customWidth="1"/>
    <col min="21" max="21" width="20.33203125" bestFit="1" customWidth="1"/>
    <col min="22" max="23" width="17.5546875" bestFit="1" customWidth="1"/>
  </cols>
  <sheetData>
    <row r="2" spans="1:3">
      <c r="A2" s="15" t="s">
        <v>14</v>
      </c>
      <c r="B2" t="s">
        <v>40</v>
      </c>
    </row>
    <row r="3" spans="1:3">
      <c r="A3" s="15" t="s">
        <v>10</v>
      </c>
      <c r="B3" t="s">
        <v>40</v>
      </c>
    </row>
    <row r="4" spans="1:3">
      <c r="A4" s="15" t="s">
        <v>11</v>
      </c>
      <c r="B4" t="s">
        <v>40</v>
      </c>
    </row>
    <row r="6" spans="1:3">
      <c r="A6" s="15" t="s">
        <v>41</v>
      </c>
      <c r="B6" t="s">
        <v>38</v>
      </c>
      <c r="C6" t="s">
        <v>39</v>
      </c>
    </row>
    <row r="7" spans="1:3">
      <c r="A7" s="16" t="s">
        <v>24</v>
      </c>
      <c r="B7" s="14">
        <v>2800</v>
      </c>
      <c r="C7" s="14">
        <v>14000</v>
      </c>
    </row>
    <row r="8" spans="1:3">
      <c r="A8" s="17" t="s">
        <v>44</v>
      </c>
      <c r="B8" s="14">
        <v>2800</v>
      </c>
      <c r="C8" s="14">
        <v>14000</v>
      </c>
    </row>
    <row r="9" spans="1:3">
      <c r="A9" s="16" t="s">
        <v>26</v>
      </c>
      <c r="B9" s="14">
        <v>12</v>
      </c>
      <c r="C9" s="14">
        <v>720</v>
      </c>
    </row>
    <row r="10" spans="1:3">
      <c r="A10" s="17" t="s">
        <v>15</v>
      </c>
      <c r="B10" s="14">
        <v>12</v>
      </c>
      <c r="C10" s="14">
        <v>720</v>
      </c>
    </row>
    <row r="11" spans="1:3">
      <c r="A11" s="16" t="s">
        <v>27</v>
      </c>
      <c r="B11" s="14">
        <v>550</v>
      </c>
      <c r="C11" s="14">
        <v>8250</v>
      </c>
    </row>
    <row r="12" spans="1:3">
      <c r="A12" s="17" t="s">
        <v>43</v>
      </c>
      <c r="B12" s="14">
        <v>550</v>
      </c>
      <c r="C12" s="14">
        <v>8250</v>
      </c>
    </row>
    <row r="13" spans="1:3">
      <c r="A13" s="16" t="s">
        <v>29</v>
      </c>
      <c r="B13" s="14">
        <v>3</v>
      </c>
      <c r="C13" s="14">
        <v>600</v>
      </c>
    </row>
    <row r="14" spans="1:3">
      <c r="A14" s="17" t="s">
        <v>19</v>
      </c>
      <c r="B14" s="14">
        <v>3</v>
      </c>
      <c r="C14" s="14">
        <v>600</v>
      </c>
    </row>
    <row r="15" spans="1:3">
      <c r="A15" s="16" t="s">
        <v>30</v>
      </c>
      <c r="B15" s="14">
        <v>2800</v>
      </c>
      <c r="C15" s="14">
        <v>22400</v>
      </c>
    </row>
    <row r="16" spans="1:3">
      <c r="A16" s="17" t="s">
        <v>44</v>
      </c>
      <c r="B16" s="14">
        <v>2800</v>
      </c>
      <c r="C16" s="14">
        <v>22400</v>
      </c>
    </row>
    <row r="17" spans="1:3">
      <c r="A17" s="16" t="s">
        <v>31</v>
      </c>
      <c r="B17" s="14">
        <v>450</v>
      </c>
      <c r="C17" s="14">
        <v>2700</v>
      </c>
    </row>
    <row r="18" spans="1:3">
      <c r="A18" s="17" t="s">
        <v>21</v>
      </c>
      <c r="B18" s="14">
        <v>450</v>
      </c>
      <c r="C18" s="14">
        <v>2700</v>
      </c>
    </row>
    <row r="19" spans="1:3">
      <c r="A19" s="16" t="s">
        <v>32</v>
      </c>
      <c r="B19" s="14">
        <v>550</v>
      </c>
      <c r="C19" s="14">
        <v>5500</v>
      </c>
    </row>
    <row r="20" spans="1:3">
      <c r="A20" s="17" t="s">
        <v>43</v>
      </c>
      <c r="B20" s="14">
        <v>550</v>
      </c>
      <c r="C20" s="14">
        <v>5500</v>
      </c>
    </row>
    <row r="21" spans="1:3">
      <c r="A21" s="16" t="s">
        <v>33</v>
      </c>
      <c r="B21" s="14">
        <v>12</v>
      </c>
      <c r="C21" s="14">
        <v>900</v>
      </c>
    </row>
    <row r="22" spans="1:3">
      <c r="A22" s="17" t="s">
        <v>15</v>
      </c>
      <c r="B22" s="14">
        <v>12</v>
      </c>
      <c r="C22" s="14">
        <v>900</v>
      </c>
    </row>
    <row r="23" spans="1:3">
      <c r="A23" s="18">
        <v>45662</v>
      </c>
      <c r="B23" s="14">
        <v>24</v>
      </c>
      <c r="C23" s="14">
        <v>960</v>
      </c>
    </row>
    <row r="24" spans="1:3">
      <c r="A24" s="17" t="s">
        <v>18</v>
      </c>
      <c r="B24" s="14">
        <v>12</v>
      </c>
      <c r="C24" s="14">
        <v>480</v>
      </c>
    </row>
    <row r="25" spans="1:3">
      <c r="A25" s="17" t="s">
        <v>15</v>
      </c>
      <c r="B25" s="14">
        <v>12</v>
      </c>
      <c r="C25" s="14">
        <v>480</v>
      </c>
    </row>
    <row r="26" spans="1:3">
      <c r="A26" s="18">
        <v>45665</v>
      </c>
      <c r="B26" s="14">
        <v>453</v>
      </c>
      <c r="C26" s="14">
        <v>630</v>
      </c>
    </row>
    <row r="27" spans="1:3">
      <c r="A27" s="17" t="s">
        <v>21</v>
      </c>
      <c r="B27" s="14">
        <v>450</v>
      </c>
      <c r="C27" s="14">
        <v>270</v>
      </c>
    </row>
    <row r="28" spans="1:3">
      <c r="A28" s="17" t="s">
        <v>19</v>
      </c>
      <c r="B28" s="14">
        <v>3</v>
      </c>
      <c r="C28" s="14">
        <v>360</v>
      </c>
    </row>
    <row r="29" spans="1:3">
      <c r="A29" s="16" t="s">
        <v>42</v>
      </c>
      <c r="B29" s="14">
        <v>7654</v>
      </c>
      <c r="C29" s="14">
        <v>56660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rightToLeft="1" zoomScaleNormal="100" workbookViewId="0">
      <selection sqref="A1:G13"/>
    </sheetView>
  </sheetViews>
  <sheetFormatPr defaultColWidth="8.6640625" defaultRowHeight="14.4"/>
  <cols>
    <col min="1" max="1" width="14" style="12" customWidth="1"/>
    <col min="2" max="2" width="20" customWidth="1"/>
    <col min="3" max="3" width="16" customWidth="1"/>
    <col min="4" max="4" width="10" customWidth="1"/>
    <col min="5" max="7" width="12" customWidth="1"/>
  </cols>
  <sheetData>
    <row r="1" spans="1:7">
      <c r="A1" s="9" t="s">
        <v>8</v>
      </c>
      <c r="B1" s="5" t="s">
        <v>9</v>
      </c>
      <c r="C1" s="5" t="s">
        <v>10</v>
      </c>
      <c r="D1" s="5" t="s">
        <v>11</v>
      </c>
      <c r="E1" s="5" t="s">
        <v>12</v>
      </c>
      <c r="F1" s="5" t="s">
        <v>13</v>
      </c>
      <c r="G1" s="5" t="s">
        <v>14</v>
      </c>
    </row>
    <row r="2" spans="1:7">
      <c r="A2" s="10">
        <v>45662</v>
      </c>
      <c r="B2" s="7" t="s">
        <v>15</v>
      </c>
      <c r="C2" s="7" t="s">
        <v>16</v>
      </c>
      <c r="D2" s="6">
        <v>40</v>
      </c>
      <c r="E2" s="6">
        <v>12</v>
      </c>
      <c r="F2" s="6">
        <f>D2*E2</f>
        <v>480</v>
      </c>
      <c r="G2" s="7" t="s">
        <v>17</v>
      </c>
    </row>
    <row r="3" spans="1:7">
      <c r="A3" s="10">
        <v>45662</v>
      </c>
      <c r="B3" s="7" t="s">
        <v>18</v>
      </c>
      <c r="C3" s="7" t="s">
        <v>16</v>
      </c>
      <c r="D3" s="6">
        <v>40</v>
      </c>
      <c r="E3" s="6">
        <v>12</v>
      </c>
      <c r="F3" s="6">
        <f>D3*E3</f>
        <v>480</v>
      </c>
      <c r="G3" s="7" t="s">
        <v>17</v>
      </c>
    </row>
    <row r="4" spans="1:7">
      <c r="A4" s="10">
        <v>45665</v>
      </c>
      <c r="B4" s="7" t="s">
        <v>19</v>
      </c>
      <c r="C4" s="7" t="s">
        <v>16</v>
      </c>
      <c r="D4" s="6">
        <v>120</v>
      </c>
      <c r="E4" s="6">
        <v>3</v>
      </c>
      <c r="F4" s="6">
        <f>D4*E4</f>
        <v>360</v>
      </c>
      <c r="G4" s="7" t="s">
        <v>20</v>
      </c>
    </row>
    <row r="5" spans="1:7">
      <c r="A5" s="10">
        <v>45665</v>
      </c>
      <c r="B5" s="7" t="s">
        <v>21</v>
      </c>
      <c r="C5" s="7" t="s">
        <v>22</v>
      </c>
      <c r="D5" s="13">
        <v>270</v>
      </c>
      <c r="E5" s="6">
        <v>450</v>
      </c>
      <c r="F5" s="6">
        <v>270</v>
      </c>
      <c r="G5" s="7" t="s">
        <v>23</v>
      </c>
    </row>
    <row r="6" spans="1:7">
      <c r="A6" s="10" t="s">
        <v>24</v>
      </c>
      <c r="B6" s="7" t="s">
        <v>25</v>
      </c>
      <c r="C6" s="7" t="s">
        <v>22</v>
      </c>
      <c r="D6" s="6">
        <v>5</v>
      </c>
      <c r="E6" s="6">
        <v>2800</v>
      </c>
      <c r="F6" s="6">
        <f t="shared" ref="F6:F13" si="0">D6*E6</f>
        <v>14000</v>
      </c>
      <c r="G6" s="7" t="s">
        <v>20</v>
      </c>
    </row>
    <row r="7" spans="1:7">
      <c r="A7" s="10" t="s">
        <v>26</v>
      </c>
      <c r="B7" s="7" t="s">
        <v>15</v>
      </c>
      <c r="C7" s="7" t="s">
        <v>16</v>
      </c>
      <c r="D7" s="6">
        <v>60</v>
      </c>
      <c r="E7" s="6">
        <v>12</v>
      </c>
      <c r="F7" s="6">
        <f t="shared" si="0"/>
        <v>720</v>
      </c>
      <c r="G7" s="7" t="s">
        <v>23</v>
      </c>
    </row>
    <row r="8" spans="1:7">
      <c r="A8" s="10" t="s">
        <v>27</v>
      </c>
      <c r="B8" s="7" t="s">
        <v>28</v>
      </c>
      <c r="C8" s="7" t="s">
        <v>22</v>
      </c>
      <c r="D8" s="6">
        <v>15</v>
      </c>
      <c r="E8" s="6">
        <v>550</v>
      </c>
      <c r="F8" s="6">
        <f t="shared" si="0"/>
        <v>8250</v>
      </c>
      <c r="G8" s="7" t="s">
        <v>17</v>
      </c>
    </row>
    <row r="9" spans="1:7">
      <c r="A9" s="10" t="s">
        <v>29</v>
      </c>
      <c r="B9" s="7" t="s">
        <v>19</v>
      </c>
      <c r="C9" s="7" t="s">
        <v>16</v>
      </c>
      <c r="D9" s="6">
        <v>200</v>
      </c>
      <c r="E9" s="6">
        <v>3</v>
      </c>
      <c r="F9" s="6">
        <f t="shared" si="0"/>
        <v>600</v>
      </c>
      <c r="G9" s="7" t="s">
        <v>20</v>
      </c>
    </row>
    <row r="10" spans="1:7">
      <c r="A10" s="10" t="s">
        <v>30</v>
      </c>
      <c r="B10" s="7" t="s">
        <v>25</v>
      </c>
      <c r="C10" s="7" t="s">
        <v>22</v>
      </c>
      <c r="D10" s="6">
        <v>8</v>
      </c>
      <c r="E10" s="6">
        <v>2800</v>
      </c>
      <c r="F10" s="6">
        <f t="shared" si="0"/>
        <v>22400</v>
      </c>
      <c r="G10" s="7" t="s">
        <v>23</v>
      </c>
    </row>
    <row r="11" spans="1:7">
      <c r="A11" s="10" t="s">
        <v>31</v>
      </c>
      <c r="B11" s="7" t="s">
        <v>21</v>
      </c>
      <c r="C11" s="7" t="s">
        <v>22</v>
      </c>
      <c r="D11" s="6">
        <v>6</v>
      </c>
      <c r="E11" s="6">
        <v>450</v>
      </c>
      <c r="F11" s="6">
        <f t="shared" si="0"/>
        <v>2700</v>
      </c>
      <c r="G11" s="7" t="s">
        <v>17</v>
      </c>
    </row>
    <row r="12" spans="1:7">
      <c r="A12" s="10" t="s">
        <v>32</v>
      </c>
      <c r="B12" s="7" t="s">
        <v>28</v>
      </c>
      <c r="C12" s="7" t="s">
        <v>22</v>
      </c>
      <c r="D12" s="6">
        <v>10</v>
      </c>
      <c r="E12" s="6">
        <v>550</v>
      </c>
      <c r="F12" s="6">
        <f t="shared" si="0"/>
        <v>5500</v>
      </c>
      <c r="G12" s="7" t="s">
        <v>20</v>
      </c>
    </row>
    <row r="13" spans="1:7">
      <c r="A13" s="10" t="s">
        <v>33</v>
      </c>
      <c r="B13" s="7" t="s">
        <v>15</v>
      </c>
      <c r="C13" s="7" t="s">
        <v>16</v>
      </c>
      <c r="D13" s="6">
        <v>75</v>
      </c>
      <c r="E13" s="6">
        <v>12</v>
      </c>
      <c r="F13" s="6">
        <f t="shared" si="0"/>
        <v>900</v>
      </c>
      <c r="G13" s="7" t="s">
        <v>23</v>
      </c>
    </row>
    <row r="15" spans="1:7">
      <c r="A15" s="11" t="s">
        <v>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rightToLeft="1" zoomScaleNormal="100" workbookViewId="0"/>
  </sheetViews>
  <sheetFormatPr defaultColWidth="8.6640625" defaultRowHeight="14.4"/>
  <cols>
    <col min="1" max="1" width="20" customWidth="1"/>
    <col min="2" max="2" width="16" customWidth="1"/>
    <col min="3" max="3" width="18" customWidth="1"/>
  </cols>
  <sheetData>
    <row r="1" spans="1:3">
      <c r="A1" s="5" t="s">
        <v>9</v>
      </c>
      <c r="B1" s="5" t="s">
        <v>35</v>
      </c>
      <c r="C1" s="5" t="s">
        <v>36</v>
      </c>
    </row>
    <row r="2" spans="1:3">
      <c r="A2" s="8" t="s">
        <v>15</v>
      </c>
      <c r="B2" s="8">
        <f>SUMIF('بيانات خام'!B:B,A2,'بيانات خام'!D:D)</f>
        <v>175</v>
      </c>
      <c r="C2" s="8">
        <f>SUMIF('بيانات خام'!B:B,A2,'بيانات خام'!F:F)</f>
        <v>2100</v>
      </c>
    </row>
    <row r="3" spans="1:3">
      <c r="A3" s="8" t="s">
        <v>19</v>
      </c>
      <c r="B3" s="8">
        <f>SUMIF('بيانات خام'!B:B,A3,'بيانات خام'!D:D)</f>
        <v>320</v>
      </c>
      <c r="C3" s="8">
        <f>SUMIF('بيانات خام'!B:B,A3,'بيانات خام'!F:F)</f>
        <v>960</v>
      </c>
    </row>
    <row r="4" spans="1:3">
      <c r="A4" s="8" t="s">
        <v>21</v>
      </c>
      <c r="B4" s="8">
        <f>SUMIF('بيانات خام'!B:B,A4,'بيانات خام'!D:D)</f>
        <v>276</v>
      </c>
      <c r="C4" s="8" t="e">
        <f>SUMIF('بيانات خام'!B:B,A4,'بيانات خام'!#REF!)</f>
        <v>#REF!</v>
      </c>
    </row>
    <row r="5" spans="1:3">
      <c r="A5" s="8" t="s">
        <v>25</v>
      </c>
      <c r="B5" s="8">
        <f>SUMIF('بيانات خام'!B:B,A5,'بيانات خام'!D:D)</f>
        <v>13</v>
      </c>
      <c r="C5" s="8">
        <f>SUMIF('بيانات خام'!B:B,A5,'بيانات خام'!F:F)</f>
        <v>36400</v>
      </c>
    </row>
    <row r="6" spans="1:3">
      <c r="A6" s="8" t="s">
        <v>28</v>
      </c>
      <c r="B6" s="8">
        <f>SUMIF('بيانات خام'!B:B,A6,'بيانات خام'!D:D)</f>
        <v>25</v>
      </c>
      <c r="C6" s="8">
        <f>SUMIF('بيانات خام'!B:B,A6,'بيانات خام'!F:F)</f>
        <v>13750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التعليمات</vt:lpstr>
      <vt:lpstr>Sheet1</vt:lpstr>
      <vt:lpstr>بيانات خام</vt:lpstr>
      <vt:lpstr>الملخص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SEBA TABASH</cp:lastModifiedBy>
  <cp:revision>0</cp:revision>
  <dcterms:created xsi:type="dcterms:W3CDTF">2026-07-12T15:27:51Z</dcterms:created>
  <dcterms:modified xsi:type="dcterms:W3CDTF">2026-09-28T12:07:09Z</dcterms:modified>
  <dc:language>en-US</dc:language>
</cp:coreProperties>
</file>