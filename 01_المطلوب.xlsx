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DAC364BE-33AA-4138-91B4-7A4BF4CC47A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بيانات الموظفين" sheetId="1" r:id="rId1"/>
    <sheet name="المطلوب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5" i="1" l="1"/>
  <c r="E19" i="1"/>
  <c r="D20" i="1"/>
  <c r="D19" i="1"/>
  <c r="G15" i="1"/>
  <c r="F17" i="1"/>
  <c r="F16" i="1"/>
  <c r="F15" i="1"/>
  <c r="D15" i="1"/>
  <c r="C15" i="1"/>
  <c r="A36" i="2"/>
  <c r="A35" i="2"/>
  <c r="A34" i="2"/>
  <c r="A33" i="2"/>
  <c r="A32" i="2"/>
  <c r="A31" i="2"/>
  <c r="A30" i="2"/>
  <c r="A29" i="2"/>
  <c r="A28" i="2"/>
  <c r="A27" i="2"/>
  <c r="A15" i="2"/>
  <c r="A14" i="2"/>
  <c r="A13" i="2"/>
  <c r="A12" i="2"/>
  <c r="A11" i="2"/>
  <c r="A10" i="2"/>
  <c r="A9" i="2"/>
  <c r="A8" i="2"/>
  <c r="A7" i="2"/>
  <c r="A6" i="2"/>
</calcChain>
</file>

<file path=xl/sharedStrings.xml><?xml version="1.0" encoding="utf-8"?>
<sst xmlns="http://schemas.openxmlformats.org/spreadsheetml/2006/main" count="56" uniqueCount="54">
  <si>
    <t>بيانات الموظفين</t>
  </si>
  <si>
    <t>رقم الموظف</t>
  </si>
  <si>
    <t>الاسم</t>
  </si>
  <si>
    <t>الرمز الوظيفي</t>
  </si>
  <si>
    <t>الراتب الأساسي</t>
  </si>
  <si>
    <t>البدلات</t>
  </si>
  <si>
    <t>تاريخ التعيين</t>
  </si>
  <si>
    <t>وقت الحضور</t>
  </si>
  <si>
    <t>EMP1001</t>
  </si>
  <si>
    <t>محمد أحمد</t>
  </si>
  <si>
    <t>SAL-HR-01</t>
  </si>
  <si>
    <t>EMP1002</t>
  </si>
  <si>
    <t>نورة سعد</t>
  </si>
  <si>
    <t>SAL-IT-02</t>
  </si>
  <si>
    <t>EMP1003</t>
  </si>
  <si>
    <t>خالد فهد</t>
  </si>
  <si>
    <t>SAL-FN-03</t>
  </si>
  <si>
    <t>EMP1004</t>
  </si>
  <si>
    <t>ريم ماجد</t>
  </si>
  <si>
    <t>SAL-IT-04</t>
  </si>
  <si>
    <t>EMP1005</t>
  </si>
  <si>
    <t>سلطان ناصر</t>
  </si>
  <si>
    <t>SAL-HR-05</t>
  </si>
  <si>
    <t>EMP1006</t>
  </si>
  <si>
    <t>هند عمر</t>
  </si>
  <si>
    <t>SAL-FN-06</t>
  </si>
  <si>
    <t>EMP1007</t>
  </si>
  <si>
    <t>فيصل تركي</t>
  </si>
  <si>
    <t>SAL-IT-07</t>
  </si>
  <si>
    <t>EMP1008</t>
  </si>
  <si>
    <t>لطيفة صالح</t>
  </si>
  <si>
    <t>SAL-HR-08</t>
  </si>
  <si>
    <t>EMP1009</t>
  </si>
  <si>
    <t>عبدالرحمن يوسف</t>
  </si>
  <si>
    <t>SAL-FN-09</t>
  </si>
  <si>
    <t>EMP1010</t>
  </si>
  <si>
    <t>منيرة حسن</t>
  </si>
  <si>
    <t>SAL-IT-10</t>
  </si>
  <si>
    <t>المطلوب</t>
  </si>
  <si>
    <t>أكمل الخلايا الصفراء باستخدام الدوال المطلوبة.</t>
  </si>
  <si>
    <t>١) دوال النصوص: LEFT و RIGHT</t>
  </si>
  <si>
    <t>أول 3 أحرف  =LEFT()</t>
  </si>
  <si>
    <t>آخر 2 رقم  =RIGHT()</t>
  </si>
  <si>
    <t>٢) الدوال الحسابية والإحصائية: SUM و AVERAGE و COUNT</t>
  </si>
  <si>
    <t>إجمالي الرواتب الأساسية</t>
  </si>
  <si>
    <t>متوسط الرواتب الأساسية</t>
  </si>
  <si>
    <t>عدد الموظفين</t>
  </si>
  <si>
    <t>إجمالي البدلات</t>
  </si>
  <si>
    <t>متوسط البدلات</t>
  </si>
  <si>
    <t>٣) دوال التاريخ والوقت: DAY و MONTH و YEAR و HOUR</t>
  </si>
  <si>
    <t>اليوم =DAY()</t>
  </si>
  <si>
    <t>الشهر =MONTH()</t>
  </si>
  <si>
    <t>السنة =YEAR()</t>
  </si>
  <si>
    <t>الساعة =HOUR()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</si>
</sst>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7" x14ac:knownFonts="1">
    <font>
      <sz val="11"/>
      <color theme="1"/>
      <name val="Calibri"/>
      <family val="2"/>
      <charset val="1"/>
    </font>
    <font>
      <b/>
      <sz val="13"/>
      <color rgb="FF9C1B4E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9"/>
      <color rgb="FF616161"/>
      <name val="Arial"/>
      <charset val="1"/>
    </font>
    <font>
      <b/>
      <sz val="11"/>
      <color rgb="FF1F6F7A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7A"/>
        <bgColor rgb="FF008080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4" fontId="6" fillId="3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A"/>
      <rgbColor rgb="FFB0BEC5"/>
      <rgbColor rgb="FF808080"/>
      <rgbColor rgb="FF9999FF"/>
      <rgbColor rgb="FF9C1B4E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rightToLeft="1" tabSelected="1" zoomScaleNormal="100" workbookViewId="0">
      <selection activeCell="A16" sqref="A16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5" customWidth="1"/>
    <col min="4" max="4" width="14" customWidth="1"/>
    <col min="5" max="5" width="12" customWidth="1"/>
    <col min="6" max="6" width="15" customWidth="1"/>
    <col min="7" max="7" width="13" customWidth="1"/>
  </cols>
  <sheetData>
    <row r="1" spans="1:9" ht="25.5" customHeight="1" x14ac:dyDescent="0.3">
      <c r="A1" s="3" t="s">
        <v>0</v>
      </c>
      <c r="B1" s="3"/>
      <c r="C1" s="3"/>
      <c r="D1" s="3"/>
      <c r="E1" s="3"/>
      <c r="F1" s="3"/>
      <c r="G1" s="3"/>
    </row>
    <row r="3" spans="1:9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9" x14ac:dyDescent="0.3">
      <c r="A4" s="5" t="s">
        <v>8</v>
      </c>
      <c r="B4" s="5" t="s">
        <v>9</v>
      </c>
      <c r="C4" s="5" t="s">
        <v>10</v>
      </c>
      <c r="D4" s="6">
        <v>9500</v>
      </c>
      <c r="E4" s="6">
        <v>1800</v>
      </c>
      <c r="F4" s="7">
        <v>42443.322916666701</v>
      </c>
      <c r="G4" s="8">
        <v>42443.322916666701</v>
      </c>
    </row>
    <row r="5" spans="1:9" x14ac:dyDescent="0.3">
      <c r="A5" s="5" t="s">
        <v>11</v>
      </c>
      <c r="B5" s="5" t="s">
        <v>12</v>
      </c>
      <c r="C5" s="5" t="s">
        <v>13</v>
      </c>
      <c r="D5" s="6">
        <v>12400</v>
      </c>
      <c r="E5" s="6">
        <v>2300</v>
      </c>
      <c r="F5" s="7">
        <v>43345.336805555598</v>
      </c>
      <c r="G5" s="8">
        <v>43345.336805555598</v>
      </c>
    </row>
    <row r="6" spans="1:9" x14ac:dyDescent="0.3">
      <c r="A6" s="5" t="s">
        <v>14</v>
      </c>
      <c r="B6" s="5" t="s">
        <v>15</v>
      </c>
      <c r="C6" s="5" t="s">
        <v>16</v>
      </c>
      <c r="D6" s="6">
        <v>7800</v>
      </c>
      <c r="E6" s="6">
        <v>1200</v>
      </c>
      <c r="F6" s="7">
        <v>43850.3125</v>
      </c>
      <c r="G6" s="8">
        <v>43850.3125</v>
      </c>
    </row>
    <row r="7" spans="1:9" x14ac:dyDescent="0.3">
      <c r="A7" s="5" t="s">
        <v>17</v>
      </c>
      <c r="B7" s="5" t="s">
        <v>18</v>
      </c>
      <c r="C7" s="5" t="s">
        <v>19</v>
      </c>
      <c r="D7" s="6">
        <v>15200</v>
      </c>
      <c r="E7" s="6">
        <v>2900</v>
      </c>
      <c r="F7" s="7">
        <v>41798.347222222197</v>
      </c>
      <c r="G7" s="8">
        <v>41798.347222222197</v>
      </c>
    </row>
    <row r="8" spans="1:9" x14ac:dyDescent="0.3">
      <c r="A8" s="5" t="s">
        <v>20</v>
      </c>
      <c r="B8" s="5" t="s">
        <v>21</v>
      </c>
      <c r="C8" s="5" t="s">
        <v>22</v>
      </c>
      <c r="D8" s="6">
        <v>6900</v>
      </c>
      <c r="E8" s="6">
        <v>950</v>
      </c>
      <c r="F8" s="7">
        <v>44511.329861111102</v>
      </c>
      <c r="G8" s="8">
        <v>44511.329861111102</v>
      </c>
    </row>
    <row r="9" spans="1:9" x14ac:dyDescent="0.3">
      <c r="A9" s="5" t="s">
        <v>23</v>
      </c>
      <c r="B9" s="5" t="s">
        <v>24</v>
      </c>
      <c r="C9" s="5" t="s">
        <v>25</v>
      </c>
      <c r="D9" s="6">
        <v>10800</v>
      </c>
      <c r="E9" s="6">
        <v>2100</v>
      </c>
      <c r="F9" s="7">
        <v>42855.34375</v>
      </c>
      <c r="G9" s="8">
        <v>42855.34375</v>
      </c>
    </row>
    <row r="10" spans="1:9" x14ac:dyDescent="0.3">
      <c r="A10" s="5" t="s">
        <v>26</v>
      </c>
      <c r="B10" s="5" t="s">
        <v>27</v>
      </c>
      <c r="C10" s="5" t="s">
        <v>28</v>
      </c>
      <c r="D10" s="6">
        <v>13600</v>
      </c>
      <c r="E10" s="6">
        <v>2600</v>
      </c>
      <c r="F10" s="7">
        <v>43695.319444444503</v>
      </c>
      <c r="G10" s="8">
        <v>43695.319444444503</v>
      </c>
    </row>
    <row r="11" spans="1:9" x14ac:dyDescent="0.3">
      <c r="A11" s="5" t="s">
        <v>29</v>
      </c>
      <c r="B11" s="5" t="s">
        <v>30</v>
      </c>
      <c r="C11" s="5" t="s">
        <v>31</v>
      </c>
      <c r="D11" s="6">
        <v>8300</v>
      </c>
      <c r="E11" s="6">
        <v>1400</v>
      </c>
      <c r="F11" s="7">
        <v>44598.354166666701</v>
      </c>
      <c r="G11" s="8">
        <v>44598.354166666701</v>
      </c>
    </row>
    <row r="12" spans="1:9" x14ac:dyDescent="0.3">
      <c r="A12" s="5" t="s">
        <v>32</v>
      </c>
      <c r="B12" s="5" t="s">
        <v>33</v>
      </c>
      <c r="C12" s="5" t="s">
        <v>34</v>
      </c>
      <c r="D12" s="6">
        <v>11500</v>
      </c>
      <c r="E12" s="6">
        <v>2200</v>
      </c>
      <c r="F12" s="7">
        <v>42302.326388888898</v>
      </c>
      <c r="G12" s="8">
        <v>42302.326388888898</v>
      </c>
    </row>
    <row r="13" spans="1:9" x14ac:dyDescent="0.3">
      <c r="A13" s="5" t="s">
        <v>35</v>
      </c>
      <c r="B13" s="5" t="s">
        <v>36</v>
      </c>
      <c r="C13" s="5" t="s">
        <v>37</v>
      </c>
      <c r="D13" s="6">
        <v>14100</v>
      </c>
      <c r="E13" s="6">
        <v>2750</v>
      </c>
      <c r="F13" s="7">
        <v>45049.333333333299</v>
      </c>
      <c r="G13" s="8">
        <v>45049.333333333299</v>
      </c>
    </row>
    <row r="15" spans="1:9" x14ac:dyDescent="0.3">
      <c r="A15">
        <f>COUNT(A4:A13)</f>
        <v>0</v>
      </c>
      <c r="C15" t="str">
        <f>LEFT(C4, 3)</f>
        <v>SAL</v>
      </c>
      <c r="D15" t="str">
        <f>RIGHT(C4, 2)</f>
        <v>01</v>
      </c>
      <c r="F15">
        <f>YEAR(F4)</f>
        <v>2016</v>
      </c>
      <c r="G15">
        <f>HOUR(G4)</f>
        <v>7</v>
      </c>
      <c r="I15" s="15"/>
    </row>
    <row r="16" spans="1:9" x14ac:dyDescent="0.3">
      <c r="F16">
        <f>MONTH(F4)</f>
        <v>3</v>
      </c>
    </row>
    <row r="17" spans="4:6" x14ac:dyDescent="0.3">
      <c r="F17">
        <f>DAY(F4)</f>
        <v>14</v>
      </c>
    </row>
    <row r="19" spans="4:6" x14ac:dyDescent="0.3">
      <c r="D19" s="15">
        <f>SUM(D4:D13)</f>
        <v>110100</v>
      </c>
      <c r="E19" s="15">
        <f>AVERAGE(E4:E13)</f>
        <v>2020</v>
      </c>
    </row>
    <row r="20" spans="4:6" x14ac:dyDescent="0.3">
      <c r="D20" s="15">
        <f>AVERAGE(D4:D13)</f>
        <v>11010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rightToLeft="1" zoomScaleNormal="100" workbookViewId="0"/>
  </sheetViews>
  <sheetFormatPr defaultColWidth="8.6640625" defaultRowHeight="14.4" x14ac:dyDescent="0.3"/>
  <cols>
    <col min="1" max="1" width="26" customWidth="1"/>
    <col min="2" max="2" width="20" customWidth="1"/>
    <col min="3" max="5" width="18" customWidth="1"/>
  </cols>
  <sheetData>
    <row r="1" spans="1:5" ht="16.8" x14ac:dyDescent="0.3">
      <c r="A1" s="2" t="s">
        <v>38</v>
      </c>
      <c r="B1" s="2"/>
      <c r="C1" s="2"/>
      <c r="D1" s="2"/>
      <c r="E1" s="2"/>
    </row>
    <row r="2" spans="1:5" x14ac:dyDescent="0.3">
      <c r="A2" s="1" t="s">
        <v>39</v>
      </c>
      <c r="B2" s="1"/>
      <c r="C2" s="1"/>
      <c r="D2" s="1"/>
      <c r="E2" s="1"/>
    </row>
    <row r="4" spans="1:5" x14ac:dyDescent="0.3">
      <c r="A4" s="9" t="s">
        <v>40</v>
      </c>
    </row>
    <row r="5" spans="1:5" x14ac:dyDescent="0.3">
      <c r="A5" s="4" t="s">
        <v>3</v>
      </c>
      <c r="B5" s="4" t="s">
        <v>41</v>
      </c>
      <c r="C5" s="4" t="s">
        <v>42</v>
      </c>
    </row>
    <row r="6" spans="1:5" x14ac:dyDescent="0.3">
      <c r="A6" s="10" t="str">
        <f>'بيانات الموظفين'!C4</f>
        <v>SAL-HR-01</v>
      </c>
      <c r="B6" s="11"/>
      <c r="C6" s="11"/>
    </row>
    <row r="7" spans="1:5" x14ac:dyDescent="0.3">
      <c r="A7" s="10" t="str">
        <f>'بيانات الموظفين'!C5</f>
        <v>SAL-IT-02</v>
      </c>
      <c r="B7" s="11"/>
      <c r="C7" s="11"/>
    </row>
    <row r="8" spans="1:5" x14ac:dyDescent="0.3">
      <c r="A8" s="10" t="str">
        <f>'بيانات الموظفين'!C6</f>
        <v>SAL-FN-03</v>
      </c>
      <c r="B8" s="11"/>
      <c r="C8" s="11"/>
    </row>
    <row r="9" spans="1:5" x14ac:dyDescent="0.3">
      <c r="A9" s="10" t="str">
        <f>'بيانات الموظفين'!C7</f>
        <v>SAL-IT-04</v>
      </c>
      <c r="B9" s="11"/>
      <c r="C9" s="11"/>
    </row>
    <row r="10" spans="1:5" x14ac:dyDescent="0.3">
      <c r="A10" s="10" t="str">
        <f>'بيانات الموظفين'!C8</f>
        <v>SAL-HR-05</v>
      </c>
      <c r="B10" s="11"/>
      <c r="C10" s="11"/>
    </row>
    <row r="11" spans="1:5" x14ac:dyDescent="0.3">
      <c r="A11" s="10" t="str">
        <f>'بيانات الموظفين'!C9</f>
        <v>SAL-FN-06</v>
      </c>
      <c r="B11" s="11"/>
      <c r="C11" s="11"/>
    </row>
    <row r="12" spans="1:5" x14ac:dyDescent="0.3">
      <c r="A12" s="10" t="str">
        <f>'بيانات الموظفين'!C10</f>
        <v>SAL-IT-07</v>
      </c>
      <c r="B12" s="11"/>
      <c r="C12" s="11"/>
    </row>
    <row r="13" spans="1:5" x14ac:dyDescent="0.3">
      <c r="A13" s="10" t="str">
        <f>'بيانات الموظفين'!C11</f>
        <v>SAL-HR-08</v>
      </c>
      <c r="B13" s="11"/>
      <c r="C13" s="11"/>
    </row>
    <row r="14" spans="1:5" x14ac:dyDescent="0.3">
      <c r="A14" s="10" t="str">
        <f>'بيانات الموظفين'!C12</f>
        <v>SAL-FN-09</v>
      </c>
      <c r="B14" s="11"/>
      <c r="C14" s="11"/>
    </row>
    <row r="15" spans="1:5" x14ac:dyDescent="0.3">
      <c r="A15" s="10" t="str">
        <f>'بيانات الموظفين'!C13</f>
        <v>SAL-IT-10</v>
      </c>
      <c r="B15" s="11"/>
      <c r="C15" s="11"/>
    </row>
    <row r="18" spans="1:5" x14ac:dyDescent="0.3">
      <c r="A18" s="9" t="s">
        <v>43</v>
      </c>
    </row>
    <row r="19" spans="1:5" x14ac:dyDescent="0.3">
      <c r="A19" s="12" t="s">
        <v>44</v>
      </c>
      <c r="B19" s="13"/>
    </row>
    <row r="20" spans="1:5" x14ac:dyDescent="0.3">
      <c r="A20" s="12" t="s">
        <v>45</v>
      </c>
      <c r="B20" s="13"/>
    </row>
    <row r="21" spans="1:5" x14ac:dyDescent="0.3">
      <c r="A21" s="12" t="s">
        <v>46</v>
      </c>
      <c r="B21" s="13"/>
    </row>
    <row r="22" spans="1:5" x14ac:dyDescent="0.3">
      <c r="A22" s="12" t="s">
        <v>47</v>
      </c>
      <c r="B22" s="13"/>
    </row>
    <row r="23" spans="1:5" x14ac:dyDescent="0.3">
      <c r="A23" s="12" t="s">
        <v>48</v>
      </c>
      <c r="B23" s="13"/>
    </row>
    <row r="25" spans="1:5" x14ac:dyDescent="0.3">
      <c r="A25" s="9" t="s">
        <v>49</v>
      </c>
    </row>
    <row r="26" spans="1:5" x14ac:dyDescent="0.3">
      <c r="A26" s="4" t="s">
        <v>6</v>
      </c>
      <c r="B26" s="4" t="s">
        <v>50</v>
      </c>
      <c r="C26" s="4" t="s">
        <v>51</v>
      </c>
      <c r="D26" s="4" t="s">
        <v>52</v>
      </c>
      <c r="E26" s="4" t="s">
        <v>53</v>
      </c>
    </row>
    <row r="27" spans="1:5" x14ac:dyDescent="0.3">
      <c r="A27" s="14">
        <f>'بيانات الموظفين'!F4</f>
        <v>42443.322916666701</v>
      </c>
      <c r="B27" s="11"/>
      <c r="C27" s="11"/>
      <c r="D27" s="11"/>
      <c r="E27" s="11"/>
    </row>
    <row r="28" spans="1:5" x14ac:dyDescent="0.3">
      <c r="A28" s="14">
        <f>'بيانات الموظفين'!F5</f>
        <v>43345.336805555598</v>
      </c>
      <c r="B28" s="11"/>
      <c r="C28" s="11"/>
      <c r="D28" s="11"/>
      <c r="E28" s="11"/>
    </row>
    <row r="29" spans="1:5" x14ac:dyDescent="0.3">
      <c r="A29" s="14">
        <f>'بيانات الموظفين'!F6</f>
        <v>43850.3125</v>
      </c>
      <c r="B29" s="11"/>
      <c r="C29" s="11"/>
      <c r="D29" s="11"/>
      <c r="E29" s="11"/>
    </row>
    <row r="30" spans="1:5" x14ac:dyDescent="0.3">
      <c r="A30" s="14">
        <f>'بيانات الموظفين'!F7</f>
        <v>41798.347222222197</v>
      </c>
      <c r="B30" s="11"/>
      <c r="C30" s="11"/>
      <c r="D30" s="11"/>
      <c r="E30" s="11"/>
    </row>
    <row r="31" spans="1:5" x14ac:dyDescent="0.3">
      <c r="A31" s="14">
        <f>'بيانات الموظفين'!F8</f>
        <v>44511.329861111102</v>
      </c>
      <c r="B31" s="11"/>
      <c r="C31" s="11"/>
      <c r="D31" s="11"/>
      <c r="E31" s="11"/>
    </row>
    <row r="32" spans="1:5" x14ac:dyDescent="0.3">
      <c r="A32" s="14">
        <f>'بيانات الموظفين'!F9</f>
        <v>42855.34375</v>
      </c>
      <c r="B32" s="11"/>
      <c r="C32" s="11"/>
      <c r="D32" s="11"/>
      <c r="E32" s="11"/>
    </row>
    <row r="33" spans="1:5" x14ac:dyDescent="0.3">
      <c r="A33" s="14">
        <f>'بيانات الموظفين'!F10</f>
        <v>43695.319444444503</v>
      </c>
      <c r="B33" s="11"/>
      <c r="C33" s="11"/>
      <c r="D33" s="11"/>
      <c r="E33" s="11"/>
    </row>
    <row r="34" spans="1:5" x14ac:dyDescent="0.3">
      <c r="A34" s="14">
        <f>'بيانات الموظفين'!F11</f>
        <v>44598.354166666701</v>
      </c>
      <c r="B34" s="11"/>
      <c r="C34" s="11"/>
      <c r="D34" s="11"/>
      <c r="E34" s="11"/>
    </row>
    <row r="35" spans="1:5" x14ac:dyDescent="0.3">
      <c r="A35" s="14">
        <f>'بيانات الموظفين'!F12</f>
        <v>42302.326388888898</v>
      </c>
      <c r="B35" s="11"/>
      <c r="C35" s="11"/>
      <c r="D35" s="11"/>
      <c r="E35" s="11"/>
    </row>
    <row r="36" spans="1:5" x14ac:dyDescent="0.3">
      <c r="A36" s="14">
        <f>'بيانات الموظفين'!F13</f>
        <v>45049.333333333299</v>
      </c>
      <c r="B36" s="11"/>
      <c r="C36" s="11"/>
      <c r="D36" s="11"/>
      <c r="E36" s="11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الموظفين</vt:lpstr>
      <vt:lpstr>المطلوب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 TABASH</cp:lastModifiedBy>
  <cp:revision>0</cp:revision>
  <dcterms:created xsi:type="dcterms:W3CDTF">2026-07-10T14:21:39Z</dcterms:created>
  <dcterms:modified xsi:type="dcterms:W3CDTF">2026-09-26T09:36:02Z</dcterms:modified>
  <dc:language>en-US</dc:language>
</cp:coreProperties>
</file>